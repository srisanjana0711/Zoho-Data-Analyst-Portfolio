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isanjana/Documents/"/>
    </mc:Choice>
  </mc:AlternateContent>
  <xr:revisionPtr revIDLastSave="0" documentId="8_{7DA971C1-1432-014F-8BD2-8ECAF91AA54A}" xr6:coauthVersionLast="47" xr6:coauthVersionMax="47" xr10:uidLastSave="{00000000-0000-0000-0000-000000000000}"/>
  <bookViews>
    <workbookView xWindow="0" yWindow="660" windowWidth="29400" windowHeight="18460" xr2:uid="{FB31A083-528F-9D41-9D68-303730385C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0" i="1"/>
  <c r="E18" i="1"/>
  <c r="E13" i="1"/>
  <c r="E16" i="1" s="1"/>
  <c r="E15" i="1"/>
  <c r="E14" i="1"/>
  <c r="E17" i="1" s="1"/>
</calcChain>
</file>

<file path=xl/sharedStrings.xml><?xml version="1.0" encoding="utf-8"?>
<sst xmlns="http://schemas.openxmlformats.org/spreadsheetml/2006/main" count="81" uniqueCount="37">
  <si>
    <t>Lead_ID</t>
  </si>
  <si>
    <t>Lead_Name</t>
  </si>
  <si>
    <t>Product</t>
  </si>
  <si>
    <t>Lead_Source</t>
  </si>
  <si>
    <t>Deal_Value</t>
  </si>
  <si>
    <t>Deal_Date</t>
  </si>
  <si>
    <t>Status</t>
  </si>
  <si>
    <t>Rahul</t>
  </si>
  <si>
    <t>CRM Pro</t>
  </si>
  <si>
    <t>Website</t>
  </si>
  <si>
    <t>Won</t>
  </si>
  <si>
    <t>Priya</t>
  </si>
  <si>
    <t>CRM Lite</t>
  </si>
  <si>
    <t>Referral</t>
  </si>
  <si>
    <t>Lost</t>
  </si>
  <si>
    <t>Arun</t>
  </si>
  <si>
    <t>crm pro</t>
  </si>
  <si>
    <t>Email</t>
  </si>
  <si>
    <t>Meera</t>
  </si>
  <si>
    <t>Negotiation</t>
  </si>
  <si>
    <t>Kiran</t>
  </si>
  <si>
    <t>Phone</t>
  </si>
  <si>
    <t>N/A</t>
  </si>
  <si>
    <t>Close won</t>
  </si>
  <si>
    <t xml:space="preserve"> Email Contact</t>
  </si>
  <si>
    <t>Pending Update</t>
  </si>
  <si>
    <t xml:space="preserve">KPI Calculation </t>
  </si>
  <si>
    <t>Metrics</t>
  </si>
  <si>
    <t>Value</t>
  </si>
  <si>
    <t>Deals Won</t>
  </si>
  <si>
    <t>Deals Lost</t>
  </si>
  <si>
    <t>Total Deal</t>
  </si>
  <si>
    <t xml:space="preserve">Win Rate </t>
  </si>
  <si>
    <t>Loss Rate</t>
  </si>
  <si>
    <t>Total Revenue</t>
  </si>
  <si>
    <t>Revenue</t>
  </si>
  <si>
    <t>Before Cleaning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</si>
</sst>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;@"/>
  </numFmts>
  <fonts count="5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rgb="FF000000"/>
      <name val="-webkit-standard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69" fontId="0" fillId="0" borderId="0" xfId="0" applyNumberFormat="1"/>
    <xf numFmtId="0" fontId="0" fillId="3" borderId="0" xfId="0" applyFill="1" applyAlignment="1">
      <alignment horizontal="center"/>
    </xf>
    <xf numFmtId="0" fontId="0" fillId="2" borderId="2" xfId="0" applyFill="1" applyBorder="1"/>
    <xf numFmtId="0" fontId="1" fillId="2" borderId="2" xfId="0" applyFont="1" applyFill="1" applyBorder="1" applyAlignment="1">
      <alignment horizontal="center"/>
    </xf>
    <xf numFmtId="169" fontId="1" fillId="2" borderId="2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9" fontId="2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2" xfId="0" applyFont="1" applyBorder="1"/>
    <xf numFmtId="0" fontId="0" fillId="0" borderId="2" xfId="0" applyBorder="1"/>
    <xf numFmtId="0" fontId="4" fillId="0" borderId="2" xfId="0" applyFont="1" applyBorder="1"/>
    <xf numFmtId="169" fontId="0" fillId="0" borderId="0" xfId="0" applyNumberFormat="1" applyBorder="1"/>
    <xf numFmtId="0" fontId="2" fillId="0" borderId="2" xfId="0" applyFont="1" applyBorder="1"/>
    <xf numFmtId="14" fontId="2" fillId="0" borderId="2" xfId="0" applyNumberFormat="1" applyFont="1" applyBorder="1"/>
    <xf numFmtId="0" fontId="1" fillId="2" borderId="2" xfId="0" applyFont="1" applyFill="1" applyBorder="1"/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DCE9D-8746-EA40-98B4-AB2D8F8EA5C7}">
  <dimension ref="A1:G37"/>
  <sheetViews>
    <sheetView tabSelected="1" workbookViewId="0">
      <selection activeCell="I40" sqref="I40"/>
    </sheetView>
  </sheetViews>
  <sheetFormatPr baseColWidth="10" defaultRowHeight="16"/>
  <cols>
    <col min="2" max="2" width="12.33203125" customWidth="1"/>
    <col min="4" max="4" width="13.83203125" customWidth="1"/>
    <col min="6" max="6" width="31.83203125" style="1" customWidth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</row>
    <row r="2" spans="1:7">
      <c r="A2" s="6">
        <v>101</v>
      </c>
      <c r="B2" s="6" t="s">
        <v>7</v>
      </c>
      <c r="C2" s="6" t="s">
        <v>8</v>
      </c>
      <c r="D2" s="6" t="s">
        <v>9</v>
      </c>
      <c r="E2" s="6">
        <v>25000</v>
      </c>
      <c r="F2" s="7">
        <v>45728</v>
      </c>
      <c r="G2" s="6" t="s">
        <v>10</v>
      </c>
    </row>
    <row r="3" spans="1:7">
      <c r="A3" s="6">
        <v>102</v>
      </c>
      <c r="B3" s="6" t="s">
        <v>11</v>
      </c>
      <c r="C3" s="6" t="s">
        <v>12</v>
      </c>
      <c r="D3" s="6" t="s">
        <v>13</v>
      </c>
      <c r="E3" s="6">
        <v>18000</v>
      </c>
      <c r="F3" s="7">
        <v>45729</v>
      </c>
      <c r="G3" s="6" t="s">
        <v>14</v>
      </c>
    </row>
    <row r="4" spans="1:7">
      <c r="A4" s="6">
        <v>103</v>
      </c>
      <c r="B4" s="6" t="s">
        <v>15</v>
      </c>
      <c r="C4" s="6" t="s">
        <v>8</v>
      </c>
      <c r="D4" s="6" t="s">
        <v>17</v>
      </c>
      <c r="E4" s="8">
        <v>23250</v>
      </c>
      <c r="F4" s="7">
        <v>45730</v>
      </c>
      <c r="G4" s="6" t="s">
        <v>10</v>
      </c>
    </row>
    <row r="5" spans="1:7">
      <c r="A5" s="6">
        <v>104</v>
      </c>
      <c r="B5" s="6" t="s">
        <v>18</v>
      </c>
      <c r="C5" s="6" t="s">
        <v>8</v>
      </c>
      <c r="D5" s="6" t="s">
        <v>9</v>
      </c>
      <c r="E5" s="6">
        <v>30000</v>
      </c>
      <c r="F5" s="7">
        <v>45731</v>
      </c>
      <c r="G5" s="6" t="s">
        <v>14</v>
      </c>
    </row>
    <row r="6" spans="1:7">
      <c r="A6" s="6">
        <v>105</v>
      </c>
      <c r="B6" s="6" t="s">
        <v>20</v>
      </c>
      <c r="C6" s="6" t="s">
        <v>12</v>
      </c>
      <c r="D6" s="6" t="s">
        <v>21</v>
      </c>
      <c r="E6" s="6">
        <v>20000</v>
      </c>
      <c r="F6" s="7">
        <v>45732</v>
      </c>
      <c r="G6" s="6" t="s">
        <v>10</v>
      </c>
    </row>
    <row r="7" spans="1:7">
      <c r="A7" s="6">
        <v>106</v>
      </c>
      <c r="B7" s="6" t="s">
        <v>24</v>
      </c>
      <c r="C7" s="6" t="s">
        <v>8</v>
      </c>
      <c r="D7" s="6" t="s">
        <v>17</v>
      </c>
      <c r="E7" s="6">
        <v>23250</v>
      </c>
      <c r="F7" s="7" t="s">
        <v>25</v>
      </c>
      <c r="G7" s="6" t="s">
        <v>10</v>
      </c>
    </row>
    <row r="10" spans="1:7">
      <c r="A10" s="2" t="s">
        <v>26</v>
      </c>
      <c r="B10" s="2"/>
      <c r="C10" s="2"/>
      <c r="D10" s="2"/>
      <c r="E10" s="2"/>
      <c r="F10" s="2"/>
      <c r="G10" s="2"/>
    </row>
    <row r="12" spans="1:7">
      <c r="D12" s="3" t="s">
        <v>27</v>
      </c>
      <c r="E12" s="3" t="s">
        <v>28</v>
      </c>
      <c r="F12" s="12"/>
    </row>
    <row r="13" spans="1:7" ht="18">
      <c r="D13" s="9" t="s">
        <v>29</v>
      </c>
      <c r="E13" s="10">
        <f>COUNTIF(G:G,"Won")</f>
        <v>8</v>
      </c>
      <c r="F13" s="12"/>
    </row>
    <row r="14" spans="1:7" ht="18">
      <c r="D14" s="9" t="s">
        <v>30</v>
      </c>
      <c r="E14" s="10">
        <f>COUNTIF(G:G,"Lost")</f>
        <v>3</v>
      </c>
      <c r="F14" s="12"/>
    </row>
    <row r="15" spans="1:7" ht="19">
      <c r="D15" s="11" t="s">
        <v>31</v>
      </c>
      <c r="E15" s="10">
        <f>COUNT(A:A)</f>
        <v>13</v>
      </c>
      <c r="F15" s="12"/>
    </row>
    <row r="16" spans="1:7">
      <c r="D16" s="10" t="s">
        <v>32</v>
      </c>
      <c r="E16" s="10">
        <f>(E13/E15)*100</f>
        <v>61.53846153846154</v>
      </c>
      <c r="F16" s="12"/>
    </row>
    <row r="17" spans="1:7">
      <c r="D17" s="10" t="s">
        <v>33</v>
      </c>
      <c r="E17" s="10">
        <f>(E14/E15)*100</f>
        <v>23.076923076923077</v>
      </c>
      <c r="F17" s="12"/>
    </row>
    <row r="18" spans="1:7">
      <c r="D18" s="10" t="s">
        <v>34</v>
      </c>
      <c r="E18" s="10">
        <f>SUMIF(G:G,"Won",E:E)</f>
        <v>156500</v>
      </c>
      <c r="F18" s="12"/>
    </row>
    <row r="19" spans="1:7">
      <c r="D19" s="3" t="s">
        <v>2</v>
      </c>
      <c r="E19" s="3" t="s">
        <v>35</v>
      </c>
      <c r="F19" s="12"/>
    </row>
    <row r="20" spans="1:7">
      <c r="D20" s="6" t="s">
        <v>8</v>
      </c>
      <c r="E20" s="10">
        <f>SUMIF(C:C,"CRM Pro",E:E)</f>
        <v>156500</v>
      </c>
      <c r="F20" s="12"/>
    </row>
    <row r="21" spans="1:7">
      <c r="D21" s="6" t="s">
        <v>12</v>
      </c>
      <c r="E21" s="10">
        <f>SUMIF(C:C,"CRM Lite",E:E)</f>
        <v>96000</v>
      </c>
      <c r="F21" s="12"/>
    </row>
    <row r="22" spans="1:7">
      <c r="F22" s="12"/>
    </row>
    <row r="29" spans="1:7">
      <c r="C29" s="16" t="s">
        <v>36</v>
      </c>
      <c r="D29" s="16"/>
      <c r="E29" s="16"/>
    </row>
    <row r="30" spans="1:7">
      <c r="A30" s="15" t="s">
        <v>0</v>
      </c>
      <c r="B30" s="15" t="s">
        <v>1</v>
      </c>
      <c r="C30" s="15" t="s">
        <v>2</v>
      </c>
      <c r="D30" s="15" t="s">
        <v>3</v>
      </c>
      <c r="E30" s="15" t="s">
        <v>4</v>
      </c>
      <c r="F30" s="15" t="s">
        <v>5</v>
      </c>
      <c r="G30" s="15" t="s">
        <v>6</v>
      </c>
    </row>
    <row r="31" spans="1:7">
      <c r="A31" s="13">
        <v>101</v>
      </c>
      <c r="B31" s="13" t="s">
        <v>7</v>
      </c>
      <c r="C31" s="13" t="s">
        <v>8</v>
      </c>
      <c r="D31" s="13" t="s">
        <v>9</v>
      </c>
      <c r="E31" s="13">
        <v>25000</v>
      </c>
      <c r="F31" s="14">
        <v>45728</v>
      </c>
      <c r="G31" s="13" t="s">
        <v>10</v>
      </c>
    </row>
    <row r="32" spans="1:7">
      <c r="A32" s="13">
        <v>102</v>
      </c>
      <c r="B32" s="13" t="s">
        <v>11</v>
      </c>
      <c r="C32" s="13" t="s">
        <v>12</v>
      </c>
      <c r="D32" s="13" t="s">
        <v>13</v>
      </c>
      <c r="E32" s="13">
        <v>18000</v>
      </c>
      <c r="F32" s="14">
        <v>45729</v>
      </c>
      <c r="G32" s="13" t="s">
        <v>14</v>
      </c>
    </row>
    <row r="33" spans="1:7">
      <c r="A33" s="13">
        <v>103</v>
      </c>
      <c r="B33" s="13" t="s">
        <v>15</v>
      </c>
      <c r="C33" s="13" t="s">
        <v>16</v>
      </c>
      <c r="D33" s="13" t="s">
        <v>17</v>
      </c>
      <c r="E33" s="13"/>
      <c r="F33" s="14">
        <v>45730</v>
      </c>
      <c r="G33" s="13" t="s">
        <v>10</v>
      </c>
    </row>
    <row r="34" spans="1:7">
      <c r="A34" s="13">
        <v>104</v>
      </c>
      <c r="B34" s="13" t="s">
        <v>18</v>
      </c>
      <c r="C34" s="13" t="s">
        <v>8</v>
      </c>
      <c r="D34" s="13" t="s">
        <v>9</v>
      </c>
      <c r="E34" s="13">
        <v>30000</v>
      </c>
      <c r="F34" s="14">
        <v>45731</v>
      </c>
      <c r="G34" s="13" t="s">
        <v>19</v>
      </c>
    </row>
    <row r="35" spans="1:7">
      <c r="A35" s="13">
        <v>105</v>
      </c>
      <c r="B35" s="13" t="s">
        <v>20</v>
      </c>
      <c r="C35" s="13" t="s">
        <v>12</v>
      </c>
      <c r="D35" s="13" t="s">
        <v>21</v>
      </c>
      <c r="E35" s="13">
        <v>20000</v>
      </c>
      <c r="F35" s="14">
        <v>45732</v>
      </c>
      <c r="G35" s="13" t="s">
        <v>10</v>
      </c>
    </row>
    <row r="36" spans="1:7">
      <c r="A36" s="13">
        <v>105</v>
      </c>
      <c r="B36" s="13" t="s">
        <v>20</v>
      </c>
      <c r="C36" s="13" t="s">
        <v>12</v>
      </c>
      <c r="D36" s="13" t="s">
        <v>21</v>
      </c>
      <c r="E36" s="13">
        <v>20000</v>
      </c>
      <c r="F36" s="14">
        <v>45732</v>
      </c>
      <c r="G36" s="13" t="s">
        <v>10</v>
      </c>
    </row>
    <row r="37" spans="1:7">
      <c r="A37" s="13">
        <v>106</v>
      </c>
      <c r="B37" s="13"/>
      <c r="C37" s="13" t="s">
        <v>8</v>
      </c>
      <c r="D37" s="13" t="s">
        <v>17</v>
      </c>
      <c r="E37" s="13" t="s">
        <v>22</v>
      </c>
      <c r="F37" s="13"/>
      <c r="G37" s="13" t="s">
        <v>23</v>
      </c>
    </row>
  </sheetData>
  <mergeCells count="2">
    <mergeCell ref="A10:G10"/>
    <mergeCell ref="C29:E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Srisanjana</dc:creator>
  <cp:lastModifiedBy>Srisanjana K</cp:lastModifiedBy>
  <dcterms:created xsi:type="dcterms:W3CDTF">2025-12-05T06:00:43Z</dcterms:created>
  <dcterms:modified xsi:type="dcterms:W3CDTF">2025-12-05T07:33:41Z</dcterms:modified>
</cp:coreProperties>
</file>