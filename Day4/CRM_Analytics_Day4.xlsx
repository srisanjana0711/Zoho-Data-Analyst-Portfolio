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risanjana/Documents/"/>
    </mc:Choice>
  </mc:AlternateContent>
  <xr:revisionPtr revIDLastSave="0" documentId="8_{666E343C-6911-B548-B17F-B4F507AD21BC}" xr6:coauthVersionLast="47" xr6:coauthVersionMax="47" xr10:uidLastSave="{00000000-0000-0000-0000-000000000000}"/>
  <bookViews>
    <workbookView xWindow="680" yWindow="680" windowWidth="28040" windowHeight="17140" activeTab="3" xr2:uid="{6195827C-DA7F-7E42-901A-3D2F02DEED05}"/>
  </bookViews>
  <sheets>
    <sheet name="Lead" sheetId="1" r:id="rId1"/>
    <sheet name="Deal" sheetId="2" r:id="rId2"/>
    <sheet name="Product" sheetId="4" r:id="rId3"/>
    <sheet name="Sales" sheetId="7" r:id="rId4"/>
    <sheet name="Region_revenue" sheetId="3" r:id="rId5"/>
    <sheet name="Product_Revenue" sheetId="6" r:id="rId6"/>
  </sheets>
  <calcPr calcId="181029"/>
  <pivotCaches>
    <pivotCache cacheId="13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2" l="1"/>
  <c r="G3" i="2"/>
  <c r="G4" i="2"/>
  <c r="G5" i="2"/>
  <c r="G6" i="2"/>
  <c r="F3" i="2"/>
  <c r="F4" i="2"/>
  <c r="F5" i="2"/>
  <c r="F6" i="2"/>
  <c r="F2" i="2"/>
</calcChain>
</file>

<file path=xl/sharedStrings.xml><?xml version="1.0" encoding="utf-8"?>
<sst xmlns="http://schemas.openxmlformats.org/spreadsheetml/2006/main" count="83" uniqueCount="54">
  <si>
    <t>Lead_ID</t>
  </si>
  <si>
    <t>Lead_Name</t>
  </si>
  <si>
    <t>Email</t>
  </si>
  <si>
    <t>Region</t>
  </si>
  <si>
    <t>L001</t>
  </si>
  <si>
    <t>Ram</t>
  </si>
  <si>
    <t>ram@mail.com</t>
  </si>
  <si>
    <t>South</t>
  </si>
  <si>
    <t>L002</t>
  </si>
  <si>
    <t>Ankit</t>
  </si>
  <si>
    <t>ankit@mail.com</t>
  </si>
  <si>
    <t>West</t>
  </si>
  <si>
    <t>L003</t>
  </si>
  <si>
    <t>Sita</t>
  </si>
  <si>
    <t>sita@mail.com</t>
  </si>
  <si>
    <t>North</t>
  </si>
  <si>
    <t>L004</t>
  </si>
  <si>
    <t>Ravi</t>
  </si>
  <si>
    <t>ravi@mail.com</t>
  </si>
  <si>
    <t>East</t>
  </si>
  <si>
    <t>L005</t>
  </si>
  <si>
    <t>Maya</t>
  </si>
  <si>
    <t>maya@mail.com</t>
  </si>
  <si>
    <t>Deal_ID</t>
  </si>
  <si>
    <t>Product_ID</t>
  </si>
  <si>
    <t>Salesperson_ID</t>
  </si>
  <si>
    <t>Deal_Value</t>
  </si>
  <si>
    <t>D101</t>
  </si>
  <si>
    <t>P01</t>
  </si>
  <si>
    <t>S01</t>
  </si>
  <si>
    <t>D102</t>
  </si>
  <si>
    <t>P02</t>
  </si>
  <si>
    <t>D103</t>
  </si>
  <si>
    <t>S02</t>
  </si>
  <si>
    <t>D104</t>
  </si>
  <si>
    <t>P03</t>
  </si>
  <si>
    <t>S03</t>
  </si>
  <si>
    <t>D105</t>
  </si>
  <si>
    <t>Row Labels</t>
  </si>
  <si>
    <t>Grand Total</t>
  </si>
  <si>
    <t>Sum of Deal_Value</t>
  </si>
  <si>
    <t>Product_Name</t>
  </si>
  <si>
    <t>Laptop</t>
  </si>
  <si>
    <t>Monitor</t>
  </si>
  <si>
    <t>Keyboard</t>
  </si>
  <si>
    <t>P04</t>
  </si>
  <si>
    <t>Mouse</t>
  </si>
  <si>
    <t>Product_name</t>
  </si>
  <si>
    <t>Salesperson_Name</t>
  </si>
  <si>
    <t>Priya</t>
  </si>
  <si>
    <t>John</t>
  </si>
  <si>
    <t>Divya</t>
  </si>
  <si>
    <t>S04</t>
  </si>
  <si>
    <t>Karan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</si>
</sst>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2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2"/>
    <xf numFmtId="0" fontId="5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9" fontId="3" fillId="0" borderId="0" xfId="1" applyFont="1"/>
  </cellXfs>
  <cellStyles count="3">
    <cellStyle name="Hyperlink" xfId="2" builtinId="8"/>
    <cellStyle name="Normal" xfId="0" builtinId="0"/>
    <cellStyle name="Per cent" xfId="1" builtinId="5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[CRM_Analytics_Day4.xlsx]Region_revenue!PivotTable1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Revenue</a:t>
            </a:r>
            <a:r>
              <a:rPr lang="en-GB" baseline="0"/>
              <a:t> By region</a:t>
            </a:r>
            <a:endParaRPr lang="en-GB"/>
          </a:p>
        </c:rich>
      </c:tx>
      <c:layout>
        <c:manualLayout>
          <c:xMode val="edge"/>
          <c:yMode val="edge"/>
          <c:x val="0.37320822397200348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Region_revenue!$B$3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Region_revenue!$A$4:$A$7</c:f>
              <c:strCache>
                <c:ptCount val="3"/>
                <c:pt idx="0">
                  <c:v>North</c:v>
                </c:pt>
                <c:pt idx="1">
                  <c:v>South</c:v>
                </c:pt>
                <c:pt idx="2">
                  <c:v>West</c:v>
                </c:pt>
              </c:strCache>
            </c:strRef>
          </c:cat>
          <c:val>
            <c:numRef>
              <c:f>Region_revenue!$B$4:$B$7</c:f>
              <c:numCache>
                <c:formatCode>General</c:formatCode>
                <c:ptCount val="3"/>
                <c:pt idx="0">
                  <c:v>8000</c:v>
                </c:pt>
                <c:pt idx="1">
                  <c:v>37000</c:v>
                </c:pt>
                <c:pt idx="2">
                  <c:v>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D4-2741-BD76-50017135F0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45882752"/>
        <c:axId val="1645884544"/>
      </c:barChart>
      <c:catAx>
        <c:axId val="1645882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5884544"/>
        <c:crosses val="autoZero"/>
        <c:auto val="1"/>
        <c:lblAlgn val="ctr"/>
        <c:lblOffset val="100"/>
        <c:noMultiLvlLbl val="0"/>
      </c:catAx>
      <c:valAx>
        <c:axId val="1645884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5882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[CRM_Analytics_Day4.xlsx]Product_Revenue!PivotTable3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Product</a:t>
            </a:r>
            <a:r>
              <a:rPr lang="en-GB" baseline="0"/>
              <a:t> Revenue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Product_Revenue!$B$3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Product_Revenue!$A$4:$A$7</c:f>
              <c:strCache>
                <c:ptCount val="3"/>
                <c:pt idx="0">
                  <c:v>Keyboard</c:v>
                </c:pt>
                <c:pt idx="1">
                  <c:v>Laptop</c:v>
                </c:pt>
                <c:pt idx="2">
                  <c:v>Monitor</c:v>
                </c:pt>
              </c:strCache>
            </c:strRef>
          </c:cat>
          <c:val>
            <c:numRef>
              <c:f>Product_Revenue!$B$4:$B$7</c:f>
              <c:numCache>
                <c:formatCode>General</c:formatCode>
                <c:ptCount val="3"/>
                <c:pt idx="0">
                  <c:v>8000</c:v>
                </c:pt>
                <c:pt idx="1">
                  <c:v>15000</c:v>
                </c:pt>
                <c:pt idx="2">
                  <c:v>27000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57-9543-BA8E-D9F12EA97B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304800</xdr:colOff>
      <xdr:row>1</xdr:row>
      <xdr:rowOff>196850</xdr:rowOff>
    </xdr:from>
    <xdr:to>
      <xdr:col>7</xdr:col>
      <xdr:colOff>749300</xdr:colOff>
      <xdr:row>15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B8ACA02-4420-BD0C-0030-1732436CE1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749300</xdr:colOff>
      <xdr:row>1</xdr:row>
      <xdr:rowOff>107950</xdr:rowOff>
    </xdr:from>
    <xdr:to>
      <xdr:col>8</xdr:col>
      <xdr:colOff>368300</xdr:colOff>
      <xdr:row>15</xdr:row>
      <xdr:rowOff>6350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9FF1A48-8AEE-D701-CB57-AF5C0E63FC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risanjana" refreshedDate="45998.800591550927" createdVersion="8" refreshedVersion="8" minRefreshableVersion="3" recordCount="5" xr:uid="{F9ABD866-4A2E-FA4C-8481-B0E250580521}">
  <cacheSource type="worksheet">
    <worksheetSource name="Table1"/>
  </cacheSource>
  <cacheFields count="7">
    <cacheField name="Deal_ID" numFmtId="0">
      <sharedItems/>
    </cacheField>
    <cacheField name="Lead_ID" numFmtId="0">
      <sharedItems/>
    </cacheField>
    <cacheField name="Product_ID" numFmtId="0">
      <sharedItems count="3">
        <s v="P01"/>
        <s v="P02"/>
        <s v="P03"/>
      </sharedItems>
    </cacheField>
    <cacheField name="Salesperson_ID" numFmtId="0">
      <sharedItems/>
    </cacheField>
    <cacheField name="Deal_Value" numFmtId="0">
      <sharedItems containsSemiMixedTypes="0" containsString="0" containsNumber="1" containsInteger="1" minValue="5000" maxValue="15000"/>
    </cacheField>
    <cacheField name="Region" numFmtId="0">
      <sharedItems count="3">
        <s v="South"/>
        <s v="West"/>
        <s v="North"/>
      </sharedItems>
    </cacheField>
    <cacheField name="Product_name" numFmtId="9">
      <sharedItems count="3">
        <s v="Laptop"/>
        <s v="Monitor"/>
        <s v="Keyboar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s v="D101"/>
    <s v="L001"/>
    <x v="0"/>
    <s v="S01"/>
    <n v="10000"/>
    <x v="0"/>
    <x v="0"/>
  </r>
  <r>
    <s v="D102"/>
    <s v="L001"/>
    <x v="1"/>
    <s v="S01"/>
    <n v="15000"/>
    <x v="0"/>
    <x v="1"/>
  </r>
  <r>
    <s v="D103"/>
    <s v="L002"/>
    <x v="0"/>
    <s v="S02"/>
    <n v="5000"/>
    <x v="1"/>
    <x v="0"/>
  </r>
  <r>
    <s v="D104"/>
    <s v="L003"/>
    <x v="2"/>
    <s v="S03"/>
    <n v="8000"/>
    <x v="2"/>
    <x v="2"/>
  </r>
  <r>
    <s v="D105"/>
    <s v="L005"/>
    <x v="1"/>
    <s v="S01"/>
    <n v="12000"/>
    <x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7F1FEC-D395-6640-A6F2-D98F565C2CD6}" name="PivotTable1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7" firstHeaderRow="1" firstDataRow="1" firstDataCol="1"/>
  <pivotFields count="7">
    <pivotField showAll="0"/>
    <pivotField showAll="0"/>
    <pivotField showAll="0"/>
    <pivotField showAll="0"/>
    <pivotField dataField="1" showAll="0"/>
    <pivotField axis="axisRow" showAll="0">
      <items count="4">
        <item x="2"/>
        <item x="0"/>
        <item x="1"/>
        <item t="default"/>
      </items>
    </pivotField>
    <pivotField showAll="0"/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Deal_Value" fld="4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C6C694-CF27-AC43-9672-5576DDAC49DA}" name="PivotTable3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7" firstHeaderRow="1" firstDataRow="1" firstDataCol="1"/>
  <pivotFields count="7"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axis="axisRow" showAll="0">
      <items count="4">
        <item x="2"/>
        <item x="0"/>
        <item x="1"/>
        <item t="default"/>
      </items>
    </pivotField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Deal_Value" fld="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D2640A1-9F9D-724C-B594-D5FA91E27A5D}" name="Table1" displayName="Table1" ref="A1:G6" totalsRowShown="0" headerRowDxfId="1" dataDxfId="2">
  <autoFilter ref="A1:G6" xr:uid="{FD2640A1-9F9D-724C-B594-D5FA91E27A5D}"/>
  <tableColumns count="7">
    <tableColumn id="1" xr3:uid="{49F6B0A4-684C-1D4C-AE28-9AAD6D9D5A63}" name="Deal_ID" dataDxfId="7"/>
    <tableColumn id="2" xr3:uid="{C737CF12-30EF-B94D-A90F-D4A919EBAD1C}" name="Lead_ID" dataDxfId="6"/>
    <tableColumn id="3" xr3:uid="{8CDC2D6A-B68E-CB4D-957C-518A4698C435}" name="Product_ID" dataDxfId="5"/>
    <tableColumn id="4" xr3:uid="{8ECF4842-A513-8041-ABDC-9E50AEF73E03}" name="Salesperson_ID" dataDxfId="4"/>
    <tableColumn id="5" xr3:uid="{6A32F474-6E8B-E341-B1C6-CD8FB5496D9B}" name="Deal_Value" dataDxfId="3"/>
    <tableColumn id="6" xr3:uid="{C1C51DBF-A056-D34E-8579-F1E2755B9B03}" name="Region">
      <calculatedColumnFormula>VLOOKUP(B2, Lead!$A$2:$D$6, 4,FALSE )</calculatedColumnFormula>
    </tableColumn>
    <tableColumn id="7" xr3:uid="{6A07752C-303F-D947-AF9B-5C5FDA557EDF}" name="Product_name" dataDxfId="0" dataCellStyle="Per cent">
      <calculatedColumnFormula>VLOOKUP(C2,Product!$A$2:$B$5,2,FALSE)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ita@mail.com" TargetMode="External"/><Relationship Id="rId2" Type="http://schemas.openxmlformats.org/officeDocument/2006/relationships/hyperlink" Target="mailto:ankit@mail.com" TargetMode="External"/><Relationship Id="rId1" Type="http://schemas.openxmlformats.org/officeDocument/2006/relationships/hyperlink" Target="mailto:ram@mail.com" TargetMode="External"/><Relationship Id="rId5" Type="http://schemas.openxmlformats.org/officeDocument/2006/relationships/hyperlink" Target="mailto:maya@mail.com" TargetMode="External"/><Relationship Id="rId4" Type="http://schemas.openxmlformats.org/officeDocument/2006/relationships/hyperlink" Target="mailto:ravi@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FE4A0-0C21-A04C-9828-201DD8E9E48A}">
  <dimension ref="A1:D6"/>
  <sheetViews>
    <sheetView workbookViewId="0">
      <selection activeCell="D6" sqref="D6"/>
    </sheetView>
  </sheetViews>
  <sheetFormatPr baseColWidth="10" defaultRowHeight="16" x14ac:dyDescent="0.2"/>
  <cols>
    <col min="3" max="3" width="20.1640625" customWidth="1"/>
  </cols>
  <sheetData>
    <row r="1" spans="1:4" x14ac:dyDescent="0.2">
      <c r="A1" s="4" t="s">
        <v>0</v>
      </c>
      <c r="B1" s="4" t="s">
        <v>1</v>
      </c>
      <c r="C1" s="4" t="s">
        <v>2</v>
      </c>
      <c r="D1" s="4" t="s">
        <v>3</v>
      </c>
    </row>
    <row r="2" spans="1:4" x14ac:dyDescent="0.2">
      <c r="A2" s="2" t="s">
        <v>4</v>
      </c>
      <c r="B2" s="2" t="s">
        <v>5</v>
      </c>
      <c r="C2" s="3" t="s">
        <v>6</v>
      </c>
      <c r="D2" s="2" t="s">
        <v>7</v>
      </c>
    </row>
    <row r="3" spans="1:4" x14ac:dyDescent="0.2">
      <c r="A3" s="2" t="s">
        <v>8</v>
      </c>
      <c r="B3" s="2" t="s">
        <v>9</v>
      </c>
      <c r="C3" s="3" t="s">
        <v>10</v>
      </c>
      <c r="D3" s="2" t="s">
        <v>11</v>
      </c>
    </row>
    <row r="4" spans="1:4" x14ac:dyDescent="0.2">
      <c r="A4" s="2" t="s">
        <v>12</v>
      </c>
      <c r="B4" s="2" t="s">
        <v>13</v>
      </c>
      <c r="C4" s="3" t="s">
        <v>14</v>
      </c>
      <c r="D4" s="2" t="s">
        <v>15</v>
      </c>
    </row>
    <row r="5" spans="1:4" x14ac:dyDescent="0.2">
      <c r="A5" s="2" t="s">
        <v>16</v>
      </c>
      <c r="B5" s="2" t="s">
        <v>17</v>
      </c>
      <c r="C5" s="3" t="s">
        <v>18</v>
      </c>
      <c r="D5" s="2" t="s">
        <v>19</v>
      </c>
    </row>
    <row r="6" spans="1:4" x14ac:dyDescent="0.2">
      <c r="A6" s="2" t="s">
        <v>20</v>
      </c>
      <c r="B6" s="2" t="s">
        <v>21</v>
      </c>
      <c r="C6" s="3" t="s">
        <v>22</v>
      </c>
      <c r="D6" s="2" t="s">
        <v>7</v>
      </c>
    </row>
  </sheetData>
  <hyperlinks>
    <hyperlink ref="C2" r:id="rId1" display="mailto:ram@mail.com" xr:uid="{E9986F7D-6465-E24A-8780-5782B3A324DD}"/>
    <hyperlink ref="C3" r:id="rId2" display="mailto:ankit@mail.com" xr:uid="{161B59A8-5FC2-2044-A6AD-13CB21F5E73D}"/>
    <hyperlink ref="C4" r:id="rId3" display="mailto:sita@mail.com" xr:uid="{72BD9475-F808-F046-B423-5E3CE703F6E8}"/>
    <hyperlink ref="C5" r:id="rId4" display="mailto:ravi@mail.com" xr:uid="{707AF466-79DD-EA42-9466-3A0AA5C2D0B1}"/>
    <hyperlink ref="C6" r:id="rId5" display="mailto:maya@mail.com" xr:uid="{96D29D9D-E5DF-F349-927A-C3241494EB78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2D492-81C4-6243-9186-3BB76C5B4635}">
  <dimension ref="A1:G6"/>
  <sheetViews>
    <sheetView workbookViewId="0">
      <selection activeCell="G5" sqref="G5"/>
    </sheetView>
  </sheetViews>
  <sheetFormatPr baseColWidth="10" defaultRowHeight="16" x14ac:dyDescent="0.2"/>
  <cols>
    <col min="3" max="3" width="12.6640625" customWidth="1"/>
    <col min="4" max="4" width="16.33203125" customWidth="1"/>
    <col min="5" max="5" width="12.83203125" customWidth="1"/>
    <col min="7" max="7" width="19.1640625" customWidth="1"/>
  </cols>
  <sheetData>
    <row r="1" spans="1:7" x14ac:dyDescent="0.2">
      <c r="A1" s="4" t="s">
        <v>23</v>
      </c>
      <c r="B1" s="4" t="s">
        <v>0</v>
      </c>
      <c r="C1" s="4" t="s">
        <v>24</v>
      </c>
      <c r="D1" s="4" t="s">
        <v>25</v>
      </c>
      <c r="E1" s="4" t="s">
        <v>26</v>
      </c>
      <c r="F1" s="4" t="s">
        <v>3</v>
      </c>
      <c r="G1" s="4" t="s">
        <v>47</v>
      </c>
    </row>
    <row r="2" spans="1:7" x14ac:dyDescent="0.2">
      <c r="A2" s="2" t="s">
        <v>27</v>
      </c>
      <c r="B2" s="2" t="s">
        <v>4</v>
      </c>
      <c r="C2" s="2" t="s">
        <v>28</v>
      </c>
      <c r="D2" s="2" t="s">
        <v>29</v>
      </c>
      <c r="E2" s="2">
        <v>10000</v>
      </c>
      <c r="F2" t="str">
        <f>VLOOKUP(B2, Lead!$A$2:$D$6, 4,FALSE )</f>
        <v>South</v>
      </c>
      <c r="G2" s="8" t="str">
        <f>VLOOKUP(C2,Product!$A$2:$B$5,2,FALSE)</f>
        <v>Laptop</v>
      </c>
    </row>
    <row r="3" spans="1:7" x14ac:dyDescent="0.2">
      <c r="A3" s="2" t="s">
        <v>30</v>
      </c>
      <c r="B3" s="2" t="s">
        <v>4</v>
      </c>
      <c r="C3" s="2" t="s">
        <v>31</v>
      </c>
      <c r="D3" s="2" t="s">
        <v>29</v>
      </c>
      <c r="E3" s="2">
        <v>15000</v>
      </c>
      <c r="F3" t="str">
        <f>VLOOKUP(B3, Lead!$A$2:$D$6, 4,FALSE )</f>
        <v>South</v>
      </c>
      <c r="G3" s="8" t="str">
        <f>VLOOKUP(C3,Product!$A$2:$B$5,2,FALSE)</f>
        <v>Monitor</v>
      </c>
    </row>
    <row r="4" spans="1:7" x14ac:dyDescent="0.2">
      <c r="A4" s="2" t="s">
        <v>32</v>
      </c>
      <c r="B4" s="2" t="s">
        <v>8</v>
      </c>
      <c r="C4" s="2" t="s">
        <v>28</v>
      </c>
      <c r="D4" s="2" t="s">
        <v>33</v>
      </c>
      <c r="E4" s="2">
        <v>5000</v>
      </c>
      <c r="F4" t="str">
        <f>VLOOKUP(B4, Lead!$A$2:$D$6, 4,FALSE )</f>
        <v>West</v>
      </c>
      <c r="G4" s="8" t="str">
        <f>VLOOKUP(C4,Product!$A$2:$B$5,2,FALSE)</f>
        <v>Laptop</v>
      </c>
    </row>
    <row r="5" spans="1:7" x14ac:dyDescent="0.2">
      <c r="A5" s="2" t="s">
        <v>34</v>
      </c>
      <c r="B5" s="2" t="s">
        <v>12</v>
      </c>
      <c r="C5" s="2" t="s">
        <v>35</v>
      </c>
      <c r="D5" s="2" t="s">
        <v>36</v>
      </c>
      <c r="E5" s="2">
        <v>8000</v>
      </c>
      <c r="F5" t="str">
        <f>VLOOKUP(B5, Lead!$A$2:$D$6, 4,FALSE )</f>
        <v>North</v>
      </c>
      <c r="G5" s="8" t="str">
        <f>VLOOKUP(C5,Product!$A$2:$B$5,2,FALSE)</f>
        <v>Keyboard</v>
      </c>
    </row>
    <row r="6" spans="1:7" x14ac:dyDescent="0.2">
      <c r="A6" s="2" t="s">
        <v>37</v>
      </c>
      <c r="B6" s="2" t="s">
        <v>20</v>
      </c>
      <c r="C6" s="2" t="s">
        <v>31</v>
      </c>
      <c r="D6" s="2" t="s">
        <v>29</v>
      </c>
      <c r="E6" s="2">
        <v>12000</v>
      </c>
      <c r="F6" t="str">
        <f>VLOOKUP(B6, Lead!$A$2:$D$6, 4,FALSE )</f>
        <v>South</v>
      </c>
      <c r="G6" s="8" t="str">
        <f>VLOOKUP(C6,Product!$A$2:$B$5,2,FALSE)</f>
        <v>Monitor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85781-A963-8D4D-BA6E-64C1BCCDCF00}">
  <dimension ref="A1:B5"/>
  <sheetViews>
    <sheetView workbookViewId="0">
      <selection activeCell="A2" sqref="A2"/>
    </sheetView>
  </sheetViews>
  <sheetFormatPr baseColWidth="10" defaultRowHeight="16" x14ac:dyDescent="0.2"/>
  <sheetData>
    <row r="1" spans="1:2" x14ac:dyDescent="0.2">
      <c r="A1" s="4" t="s">
        <v>24</v>
      </c>
      <c r="B1" s="4" t="s">
        <v>41</v>
      </c>
    </row>
    <row r="2" spans="1:2" x14ac:dyDescent="0.2">
      <c r="A2" s="2" t="s">
        <v>28</v>
      </c>
      <c r="B2" s="2" t="s">
        <v>42</v>
      </c>
    </row>
    <row r="3" spans="1:2" x14ac:dyDescent="0.2">
      <c r="A3" s="2" t="s">
        <v>31</v>
      </c>
      <c r="B3" s="2" t="s">
        <v>43</v>
      </c>
    </row>
    <row r="4" spans="1:2" x14ac:dyDescent="0.2">
      <c r="A4" s="2" t="s">
        <v>35</v>
      </c>
      <c r="B4" s="2" t="s">
        <v>44</v>
      </c>
    </row>
    <row r="5" spans="1:2" x14ac:dyDescent="0.2">
      <c r="A5" s="2" t="s">
        <v>45</v>
      </c>
      <c r="B5" s="2" t="s">
        <v>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A4481-EBCB-924E-8EEB-8C9A598B06FF}">
  <dimension ref="A1:B5"/>
  <sheetViews>
    <sheetView tabSelected="1" workbookViewId="0">
      <selection activeCell="G25" sqref="G25"/>
    </sheetView>
  </sheetViews>
  <sheetFormatPr baseColWidth="10" defaultRowHeight="16" x14ac:dyDescent="0.2"/>
  <cols>
    <col min="2" max="2" width="17.83203125" customWidth="1"/>
  </cols>
  <sheetData>
    <row r="1" spans="1:2" x14ac:dyDescent="0.2">
      <c r="A1" s="1" t="s">
        <v>25</v>
      </c>
      <c r="B1" s="1" t="s">
        <v>48</v>
      </c>
    </row>
    <row r="2" spans="1:2" x14ac:dyDescent="0.2">
      <c r="A2" s="2" t="s">
        <v>29</v>
      </c>
      <c r="B2" s="2" t="s">
        <v>49</v>
      </c>
    </row>
    <row r="3" spans="1:2" x14ac:dyDescent="0.2">
      <c r="A3" s="2" t="s">
        <v>33</v>
      </c>
      <c r="B3" s="2" t="s">
        <v>50</v>
      </c>
    </row>
    <row r="4" spans="1:2" x14ac:dyDescent="0.2">
      <c r="A4" s="2" t="s">
        <v>36</v>
      </c>
      <c r="B4" s="2" t="s">
        <v>51</v>
      </c>
    </row>
    <row r="5" spans="1:2" x14ac:dyDescent="0.2">
      <c r="A5" s="2" t="s">
        <v>52</v>
      </c>
      <c r="B5" s="2" t="s">
        <v>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F0F2A-0C77-CC43-BD87-DC14B54961F1}">
  <dimension ref="A3:B7"/>
  <sheetViews>
    <sheetView workbookViewId="0">
      <selection activeCell="J11" sqref="J11"/>
    </sheetView>
  </sheetViews>
  <sheetFormatPr baseColWidth="10" defaultRowHeight="16" x14ac:dyDescent="0.2"/>
  <cols>
    <col min="1" max="1" width="13" bestFit="1" customWidth="1"/>
    <col min="2" max="2" width="16.6640625" bestFit="1" customWidth="1"/>
  </cols>
  <sheetData>
    <row r="3" spans="1:2" x14ac:dyDescent="0.2">
      <c r="A3" s="5" t="s">
        <v>38</v>
      </c>
      <c r="B3" t="s">
        <v>40</v>
      </c>
    </row>
    <row r="4" spans="1:2" x14ac:dyDescent="0.2">
      <c r="A4" s="6" t="s">
        <v>15</v>
      </c>
      <c r="B4" s="7">
        <v>8000</v>
      </c>
    </row>
    <row r="5" spans="1:2" x14ac:dyDescent="0.2">
      <c r="A5" s="6" t="s">
        <v>7</v>
      </c>
      <c r="B5" s="7">
        <v>37000</v>
      </c>
    </row>
    <row r="6" spans="1:2" x14ac:dyDescent="0.2">
      <c r="A6" s="6" t="s">
        <v>11</v>
      </c>
      <c r="B6" s="7">
        <v>5000</v>
      </c>
    </row>
    <row r="7" spans="1:2" x14ac:dyDescent="0.2">
      <c r="A7" s="6" t="s">
        <v>39</v>
      </c>
      <c r="B7" s="7">
        <v>50000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D3C13-AEE2-BD42-85CE-4D932F605F92}">
  <dimension ref="A3:B7"/>
  <sheetViews>
    <sheetView workbookViewId="0">
      <selection activeCell="L17" sqref="L17"/>
    </sheetView>
  </sheetViews>
  <sheetFormatPr baseColWidth="10" defaultRowHeight="16" x14ac:dyDescent="0.2"/>
  <cols>
    <col min="1" max="1" width="13" bestFit="1" customWidth="1"/>
    <col min="2" max="2" width="16.6640625" bestFit="1" customWidth="1"/>
  </cols>
  <sheetData>
    <row r="3" spans="1:2" x14ac:dyDescent="0.2">
      <c r="A3" s="5" t="s">
        <v>38</v>
      </c>
      <c r="B3" t="s">
        <v>40</v>
      </c>
    </row>
    <row r="4" spans="1:2" x14ac:dyDescent="0.2">
      <c r="A4" s="6" t="s">
        <v>44</v>
      </c>
      <c r="B4" s="7">
        <v>8000</v>
      </c>
    </row>
    <row r="5" spans="1:2" x14ac:dyDescent="0.2">
      <c r="A5" s="6" t="s">
        <v>42</v>
      </c>
      <c r="B5" s="7">
        <v>15000</v>
      </c>
    </row>
    <row r="6" spans="1:2" x14ac:dyDescent="0.2">
      <c r="A6" s="6" t="s">
        <v>43</v>
      </c>
      <c r="B6" s="7">
        <v>27000</v>
      </c>
    </row>
    <row r="7" spans="1:2" x14ac:dyDescent="0.2">
      <c r="A7" s="6" t="s">
        <v>39</v>
      </c>
      <c r="B7" s="7">
        <v>50000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Lead</vt:lpstr>
      <vt:lpstr>Deal</vt:lpstr>
      <vt:lpstr>Product</vt:lpstr>
      <vt:lpstr>Sales</vt:lpstr>
      <vt:lpstr>Region_revenue</vt:lpstr>
      <vt:lpstr>Product_Revenue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Shivananadham R.S</dc:creator>
  <cp:lastModifiedBy>Shivananadham R.S</cp:lastModifiedBy>
  <dcterms:created xsi:type="dcterms:W3CDTF">2025-12-07T12:47:10Z</dcterms:created>
  <dcterms:modified xsi:type="dcterms:W3CDTF">2025-12-07T13:59:33Z</dcterms:modified>
</cp:coreProperties>
</file>